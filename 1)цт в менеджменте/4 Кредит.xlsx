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2435"/>
  </bookViews>
  <sheets>
    <sheet name="Простой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/>
  <c r="A19" s="1"/>
  <c r="B19" s="1"/>
  <c r="C17"/>
  <c r="B17"/>
  <c r="E17" s="1"/>
  <c r="C9"/>
  <c r="C11" s="1"/>
  <c r="C13" s="1"/>
  <c r="D17" l="1"/>
  <c r="C18"/>
  <c r="B18"/>
  <c r="C19"/>
  <c r="D19" s="1"/>
  <c r="A20"/>
  <c r="D18" l="1"/>
  <c r="E18"/>
  <c r="E19"/>
  <c r="B20"/>
  <c r="A21"/>
  <c r="C20"/>
  <c r="D20" l="1"/>
  <c r="C21"/>
  <c r="A22"/>
  <c r="B21"/>
  <c r="E20"/>
  <c r="D21" l="1"/>
  <c r="B22"/>
  <c r="E22" s="1"/>
  <c r="A23"/>
  <c r="C22"/>
  <c r="E21"/>
  <c r="D22" l="1"/>
  <c r="B23"/>
  <c r="E23" s="1"/>
  <c r="A24"/>
  <c r="C23"/>
  <c r="B24" l="1"/>
  <c r="A25"/>
  <c r="C24"/>
  <c r="D23"/>
  <c r="D24" l="1"/>
  <c r="C25"/>
  <c r="B25"/>
  <c r="A26"/>
  <c r="E24"/>
  <c r="D25" l="1"/>
  <c r="B26"/>
  <c r="E26" s="1"/>
  <c r="A27"/>
  <c r="C26"/>
  <c r="E25"/>
  <c r="D26" l="1"/>
  <c r="B27"/>
  <c r="E27" s="1"/>
  <c r="A28"/>
  <c r="C27"/>
  <c r="B28" l="1"/>
  <c r="A29"/>
  <c r="C28"/>
  <c r="D27"/>
  <c r="D28" l="1"/>
  <c r="C29"/>
  <c r="E29"/>
  <c r="B29"/>
  <c r="A30"/>
  <c r="E28"/>
  <c r="D29" l="1"/>
  <c r="B30"/>
  <c r="E30" s="1"/>
  <c r="A31"/>
  <c r="C30"/>
  <c r="D30" l="1"/>
  <c r="B31"/>
  <c r="E31" s="1"/>
  <c r="A32"/>
  <c r="C31"/>
  <c r="D31" l="1"/>
  <c r="B32"/>
  <c r="D32" s="1"/>
  <c r="A33"/>
  <c r="C32"/>
  <c r="E32" l="1"/>
  <c r="C33"/>
  <c r="A34"/>
  <c r="B33"/>
  <c r="D33" l="1"/>
  <c r="E33"/>
  <c r="B34"/>
  <c r="D34" s="1"/>
  <c r="A35"/>
  <c r="C34"/>
  <c r="E34" l="1"/>
  <c r="B35"/>
  <c r="E35" s="1"/>
  <c r="A36"/>
  <c r="C35"/>
  <c r="D35" l="1"/>
  <c r="B36"/>
  <c r="D36" s="1"/>
  <c r="A37"/>
  <c r="C36"/>
  <c r="E36" l="1"/>
  <c r="C37"/>
  <c r="A38"/>
  <c r="B37"/>
  <c r="D37" l="1"/>
  <c r="E37"/>
  <c r="B38"/>
  <c r="A39"/>
  <c r="C38"/>
  <c r="D38" l="1"/>
  <c r="E38"/>
  <c r="B39"/>
  <c r="E39" s="1"/>
  <c r="A40"/>
  <c r="C39"/>
  <c r="D39" l="1"/>
  <c r="B40"/>
  <c r="D40" s="1"/>
  <c r="A41"/>
  <c r="C40"/>
  <c r="E40" l="1"/>
  <c r="C41"/>
  <c r="B41"/>
  <c r="E41" s="1"/>
  <c r="A42"/>
  <c r="D41" l="1"/>
  <c r="B42"/>
  <c r="A43"/>
  <c r="C42"/>
  <c r="D42" s="1"/>
  <c r="E42"/>
  <c r="E43" l="1"/>
  <c r="B43"/>
  <c r="A44"/>
  <c r="C43"/>
  <c r="D43" s="1"/>
  <c r="E44" l="1"/>
  <c r="B44"/>
  <c r="A45"/>
  <c r="C44"/>
  <c r="D44" l="1"/>
  <c r="C45"/>
  <c r="B45"/>
  <c r="D45" s="1"/>
  <c r="A46"/>
  <c r="E45" l="1"/>
  <c r="B46"/>
  <c r="A47"/>
  <c r="C46"/>
  <c r="D46" s="1"/>
  <c r="E46"/>
  <c r="B47" l="1"/>
  <c r="E47" s="1"/>
  <c r="A48"/>
  <c r="C47"/>
  <c r="D47" l="1"/>
  <c r="B48"/>
  <c r="E48" s="1"/>
  <c r="A49"/>
  <c r="C48"/>
  <c r="D48" s="1"/>
  <c r="C49" l="1"/>
  <c r="D49"/>
  <c r="E49"/>
  <c r="A50"/>
  <c r="B49"/>
  <c r="B50" l="1"/>
  <c r="A51"/>
  <c r="C50"/>
  <c r="D50" s="1"/>
  <c r="E50"/>
  <c r="B51" l="1"/>
  <c r="D51" s="1"/>
  <c r="A52"/>
  <c r="C51"/>
  <c r="E51" l="1"/>
  <c r="B52"/>
  <c r="E52" s="1"/>
  <c r="A53"/>
  <c r="C52"/>
  <c r="D52" l="1"/>
  <c r="C53"/>
  <c r="A54"/>
  <c r="B53"/>
  <c r="D53" l="1"/>
  <c r="E53"/>
  <c r="B54"/>
  <c r="A55"/>
  <c r="C54"/>
  <c r="D54"/>
  <c r="E54"/>
  <c r="E55" l="1"/>
  <c r="B55"/>
  <c r="D55" s="1"/>
  <c r="A56"/>
  <c r="C55"/>
  <c r="B56" l="1"/>
  <c r="E56" s="1"/>
  <c r="A57"/>
  <c r="C56"/>
  <c r="D56" l="1"/>
  <c r="C57"/>
  <c r="B57"/>
  <c r="E57" s="1"/>
  <c r="A58"/>
  <c r="D57" l="1"/>
  <c r="B58"/>
  <c r="E58" s="1"/>
  <c r="A59"/>
  <c r="C58"/>
  <c r="D58"/>
  <c r="E59" l="1"/>
  <c r="B59"/>
  <c r="D59" s="1"/>
  <c r="A60"/>
  <c r="C59"/>
  <c r="B60" l="1"/>
  <c r="E60" s="1"/>
  <c r="A61"/>
  <c r="C60"/>
  <c r="D60" l="1"/>
  <c r="C61"/>
  <c r="B61"/>
  <c r="E61" s="1"/>
  <c r="A62"/>
  <c r="D61" l="1"/>
  <c r="B62"/>
  <c r="A63"/>
  <c r="C62"/>
  <c r="D62" s="1"/>
  <c r="E62"/>
  <c r="B63" l="1"/>
  <c r="E63" s="1"/>
  <c r="A64"/>
  <c r="C63"/>
  <c r="D63" l="1"/>
  <c r="B64"/>
  <c r="E64" s="1"/>
  <c r="A65"/>
  <c r="C64"/>
  <c r="D64" l="1"/>
  <c r="C65"/>
  <c r="B65"/>
  <c r="E65" s="1"/>
  <c r="A66"/>
  <c r="D65" l="1"/>
  <c r="B66"/>
  <c r="E66" s="1"/>
  <c r="A67"/>
  <c r="C66"/>
  <c r="D66" l="1"/>
  <c r="B67"/>
  <c r="E67" s="1"/>
  <c r="A68"/>
  <c r="C67"/>
  <c r="D67" l="1"/>
  <c r="E68"/>
  <c r="B68"/>
  <c r="A69"/>
  <c r="C68"/>
  <c r="D68" l="1"/>
  <c r="C69"/>
  <c r="A70"/>
  <c r="B69"/>
  <c r="E69" s="1"/>
  <c r="D69" l="1"/>
  <c r="B70"/>
  <c r="E70" s="1"/>
  <c r="A71"/>
  <c r="C70"/>
  <c r="D70" l="1"/>
  <c r="B71"/>
  <c r="E71" s="1"/>
  <c r="A72"/>
  <c r="C71"/>
  <c r="D71" l="1"/>
  <c r="B72"/>
  <c r="E72" s="1"/>
  <c r="A73"/>
  <c r="C72"/>
  <c r="D72" l="1"/>
  <c r="C73"/>
  <c r="B73"/>
  <c r="E73" s="1"/>
  <c r="A74"/>
  <c r="D73" l="1"/>
  <c r="B74"/>
  <c r="D74" s="1"/>
  <c r="A75"/>
  <c r="C74"/>
  <c r="E74" l="1"/>
  <c r="E75"/>
  <c r="B75"/>
  <c r="A76"/>
  <c r="C75"/>
  <c r="D75" s="1"/>
  <c r="B76" l="1"/>
  <c r="E76" s="1"/>
  <c r="A77"/>
  <c r="C76"/>
  <c r="D76" l="1"/>
  <c r="C77"/>
  <c r="D77"/>
  <c r="E77"/>
  <c r="B77"/>
  <c r="A78"/>
  <c r="B78" l="1"/>
  <c r="A79"/>
  <c r="C78"/>
  <c r="D78"/>
  <c r="E78"/>
  <c r="E79" l="1"/>
  <c r="B79"/>
  <c r="A80"/>
  <c r="C79"/>
  <c r="D79"/>
  <c r="D80" l="1"/>
  <c r="E80"/>
  <c r="B80"/>
  <c r="A81"/>
  <c r="C80"/>
  <c r="C81" l="1"/>
  <c r="D81"/>
  <c r="E81"/>
  <c r="B81"/>
  <c r="A82"/>
  <c r="C82" l="1"/>
  <c r="D82"/>
  <c r="B82"/>
  <c r="E82"/>
  <c r="A83"/>
  <c r="B83" l="1"/>
  <c r="A84"/>
  <c r="C83"/>
  <c r="E83"/>
  <c r="D83"/>
  <c r="E84" l="1"/>
  <c r="B84"/>
  <c r="A85"/>
  <c r="C84"/>
  <c r="D84"/>
  <c r="D85" l="1"/>
  <c r="E85"/>
  <c r="C85"/>
  <c r="A86"/>
  <c r="B85"/>
  <c r="C86" l="1"/>
  <c r="D86"/>
  <c r="A87"/>
  <c r="E86"/>
  <c r="B86"/>
  <c r="E87" l="1"/>
  <c r="B87"/>
  <c r="A88"/>
  <c r="C87"/>
  <c r="D87"/>
  <c r="D88" l="1"/>
  <c r="E88"/>
  <c r="C88"/>
  <c r="B88"/>
  <c r="A89"/>
  <c r="C89" l="1"/>
  <c r="A90"/>
  <c r="D89"/>
  <c r="E89"/>
  <c r="B89"/>
  <c r="B90" l="1"/>
  <c r="A91"/>
  <c r="C90"/>
  <c r="E90"/>
  <c r="D90"/>
  <c r="E91" l="1"/>
  <c r="B91"/>
  <c r="A92"/>
  <c r="C91"/>
  <c r="D91"/>
  <c r="D92" l="1"/>
  <c r="E92"/>
  <c r="B92"/>
  <c r="A93"/>
  <c r="C92"/>
  <c r="C93" l="1"/>
  <c r="B93"/>
  <c r="D93"/>
  <c r="A94"/>
  <c r="E93"/>
  <c r="B94" l="1"/>
  <c r="A95"/>
  <c r="C94"/>
  <c r="D94"/>
  <c r="E94"/>
  <c r="E95" l="1"/>
  <c r="D95"/>
  <c r="B95"/>
  <c r="A96"/>
  <c r="C95"/>
  <c r="D96" l="1"/>
  <c r="E96"/>
  <c r="C96"/>
  <c r="B96"/>
  <c r="A97"/>
  <c r="C97" l="1"/>
  <c r="A98"/>
  <c r="D97"/>
  <c r="E97"/>
  <c r="B97"/>
  <c r="B98" l="1"/>
  <c r="A99"/>
  <c r="C98"/>
  <c r="E98"/>
  <c r="D98"/>
  <c r="E99" l="1"/>
  <c r="D99"/>
  <c r="B99"/>
  <c r="A100"/>
  <c r="C99"/>
  <c r="D100" l="1"/>
  <c r="E100"/>
  <c r="B100"/>
  <c r="C100"/>
</calcChain>
</file>

<file path=xl/sharedStrings.xml><?xml version="1.0" encoding="utf-8"?>
<sst xmlns="http://schemas.openxmlformats.org/spreadsheetml/2006/main" count="12" uniqueCount="12">
  <si>
    <t>Простой кредитный калькулятор</t>
  </si>
  <si>
    <t>Сумма кредита</t>
  </si>
  <si>
    <t>Годовая ставка</t>
  </si>
  <si>
    <t>Срок кредита (мес)</t>
  </si>
  <si>
    <t>Сумма ежемес. выплат</t>
  </si>
  <si>
    <t>Общая сумма выплат</t>
  </si>
  <si>
    <t>Переплата</t>
  </si>
  <si>
    <t>Выплата кредита</t>
  </si>
  <si>
    <t>Выплата процентов</t>
  </si>
  <si>
    <t>Общая выплата</t>
  </si>
  <si>
    <t>Период</t>
  </si>
  <si>
    <t>Осталось выплатить</t>
  </si>
</sst>
</file>

<file path=xl/styles.xml><?xml version="1.0" encoding="utf-8"?>
<styleSheet xmlns="http://schemas.openxmlformats.org/spreadsheetml/2006/main">
  <numFmts count="2">
    <numFmt numFmtId="164" formatCode="#,##0.00\ &quot;р.&quot;;[Red]\-#,##0.00\ &quot;р.&quot;"/>
    <numFmt numFmtId="165" formatCode="#,##0.00\ &quot;р.&quot;"/>
  </numFmts>
  <fonts count="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rgb="FFC00000"/>
      <name val="Franklin Gothic Medium Cond"/>
      <family val="2"/>
      <charset val="204"/>
    </font>
    <font>
      <b/>
      <sz val="11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3" fillId="0" borderId="2" applyNumberFormat="0" applyFill="0" applyAlignment="0" applyProtection="0"/>
    <xf numFmtId="0" fontId="4" fillId="3" borderId="3" applyNumberFormat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2" borderId="1" xfId="1" applyFont="1"/>
    <xf numFmtId="9" fontId="0" fillId="2" borderId="1" xfId="1" applyNumberFormat="1" applyFont="1"/>
    <xf numFmtId="165" fontId="0" fillId="2" borderId="1" xfId="1" applyNumberFormat="1" applyFont="1"/>
    <xf numFmtId="0" fontId="2" fillId="0" borderId="0" xfId="0" applyFont="1"/>
    <xf numFmtId="0" fontId="3" fillId="0" borderId="2" xfId="2" applyAlignment="1">
      <alignment horizontal="center" vertical="center"/>
    </xf>
    <xf numFmtId="39" fontId="4" fillId="3" borderId="3" xfId="3" applyNumberFormat="1"/>
    <xf numFmtId="165" fontId="0" fillId="0" borderId="0" xfId="0" applyNumberFormat="1"/>
  </cellXfs>
  <cellStyles count="4">
    <cellStyle name="Вывод" xfId="3" builtinId="21"/>
    <cellStyle name="Заголовок 3" xfId="2" builtinId="18"/>
    <cellStyle name="Обычный" xfId="0" builtinId="0"/>
    <cellStyle name="Примечание" xfId="1" builtinId="1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>
      <selection activeCell="B17" sqref="B17:B28"/>
    </sheetView>
  </sheetViews>
  <sheetFormatPr defaultRowHeight="15"/>
  <cols>
    <col min="1" max="1" width="8.5703125" customWidth="1"/>
    <col min="2" max="2" width="22.7109375" customWidth="1"/>
    <col min="3" max="3" width="20" customWidth="1"/>
    <col min="4" max="4" width="16.85546875" customWidth="1"/>
    <col min="5" max="5" width="19.28515625" customWidth="1"/>
  </cols>
  <sheetData>
    <row r="1" spans="1:5" ht="24.75" customHeight="1">
      <c r="A1" s="6" t="s">
        <v>0</v>
      </c>
    </row>
    <row r="3" spans="1:5">
      <c r="B3" s="2" t="s">
        <v>1</v>
      </c>
      <c r="C3" s="5">
        <v>1000000</v>
      </c>
    </row>
    <row r="4" spans="1:5" ht="4.5" customHeight="1">
      <c r="B4" s="2"/>
    </row>
    <row r="5" spans="1:5">
      <c r="B5" s="2" t="s">
        <v>2</v>
      </c>
      <c r="C5" s="4">
        <v>0.128</v>
      </c>
    </row>
    <row r="6" spans="1:5" ht="4.5" customHeight="1">
      <c r="B6" s="2"/>
    </row>
    <row r="7" spans="1:5">
      <c r="B7" s="2" t="s">
        <v>3</v>
      </c>
      <c r="C7" s="3">
        <v>60</v>
      </c>
    </row>
    <row r="8" spans="1:5">
      <c r="B8" s="2"/>
    </row>
    <row r="9" spans="1:5">
      <c r="B9" s="2" t="s">
        <v>4</v>
      </c>
      <c r="C9" s="8">
        <f>PMT(C5/12,C7,C3,0,0)</f>
        <v>-22650.822191442126</v>
      </c>
    </row>
    <row r="10" spans="1:5" ht="4.5" customHeight="1">
      <c r="B10" s="2"/>
    </row>
    <row r="11" spans="1:5">
      <c r="B11" s="2" t="s">
        <v>5</v>
      </c>
      <c r="C11" s="8">
        <f>C9*C7</f>
        <v>-1359049.3314865276</v>
      </c>
    </row>
    <row r="12" spans="1:5" ht="4.5" customHeight="1">
      <c r="B12" s="2"/>
    </row>
    <row r="13" spans="1:5">
      <c r="B13" s="2" t="s">
        <v>6</v>
      </c>
      <c r="C13" s="8">
        <f>C11+C3</f>
        <v>-359049.33148652758</v>
      </c>
    </row>
    <row r="16" spans="1:5" ht="15.75" thickBot="1">
      <c r="A16" s="7" t="s">
        <v>10</v>
      </c>
      <c r="B16" s="7" t="s">
        <v>7</v>
      </c>
      <c r="C16" s="7" t="s">
        <v>8</v>
      </c>
      <c r="D16" s="7" t="s">
        <v>9</v>
      </c>
      <c r="E16" s="7" t="s">
        <v>11</v>
      </c>
    </row>
    <row r="17" spans="1:5">
      <c r="A17">
        <v>1</v>
      </c>
      <c r="B17" s="1">
        <f>PPMT($C$5/12,A17,$C$7,$C$3,0,0)</f>
        <v>-11984.15552477546</v>
      </c>
      <c r="C17" s="1">
        <f>IPMT($C$5/12,A17,$C$7,$C$3,0,0)</f>
        <v>-10666.666666666666</v>
      </c>
      <c r="D17" s="1">
        <f>B17+C17</f>
        <v>-22650.822191442126</v>
      </c>
      <c r="E17" s="9">
        <f>C3+B17</f>
        <v>988015.8444752245</v>
      </c>
    </row>
    <row r="18" spans="1:5">
      <c r="A18">
        <f>IF(A17&gt;=$C$7,"",A17+1)</f>
        <v>2</v>
      </c>
      <c r="B18" s="1">
        <f>IF(A18&lt;&gt;"",PPMT($C$5/12,A18,$C$7,$C$3,0,0),"")</f>
        <v>-12111.986517039732</v>
      </c>
      <c r="C18" s="1">
        <f>IF(A18&lt;&gt;"",IPMT($C$5/12,A18,$C$7,$C$3,0,0),"")</f>
        <v>-10538.835674402395</v>
      </c>
      <c r="D18" s="1">
        <f>IF(A18&lt;&gt;"",B18+C18,"")</f>
        <v>-22650.822191442126</v>
      </c>
      <c r="E18" s="9">
        <f>IF(A18&lt;&gt;"",$C$3+SUM($B$17:B18),"")</f>
        <v>975903.85795818479</v>
      </c>
    </row>
    <row r="19" spans="1:5">
      <c r="A19">
        <f t="shared" ref="A19:A82" si="0">IF(A18&gt;=$C$7,"",A18+1)</f>
        <v>3</v>
      </c>
      <c r="B19" s="1">
        <f t="shared" ref="B19:B82" si="1">IF(A19&lt;&gt;"",PPMT($C$5/12,A19,$C$7,$C$3,0,0),"")</f>
        <v>-12241.181039888153</v>
      </c>
      <c r="C19" s="1">
        <f t="shared" ref="C19:C82" si="2">IF(A19&lt;&gt;"",IPMT($C$5/12,A19,$C$7,$C$3,0,0),"")</f>
        <v>-10409.641151553973</v>
      </c>
      <c r="D19" s="1">
        <f t="shared" ref="D19:D82" si="3">IF(A19&lt;&gt;"",B19+C19,"")</f>
        <v>-22650.822191442126</v>
      </c>
      <c r="E19" s="9">
        <f>IF(A19&lt;&gt;"",$C$3+SUM($B$17:B19),"")</f>
        <v>963662.67691829661</v>
      </c>
    </row>
    <row r="20" spans="1:5">
      <c r="A20">
        <f t="shared" si="0"/>
        <v>4</v>
      </c>
      <c r="B20" s="1">
        <f t="shared" si="1"/>
        <v>-12371.75363764696</v>
      </c>
      <c r="C20" s="1">
        <f t="shared" si="2"/>
        <v>-10279.068553795167</v>
      </c>
      <c r="D20" s="1">
        <f t="shared" si="3"/>
        <v>-22650.822191442126</v>
      </c>
      <c r="E20" s="9">
        <f>IF(A20&lt;&gt;"",$C$3+SUM($B$17:B20),"")</f>
        <v>951290.9232806497</v>
      </c>
    </row>
    <row r="21" spans="1:5">
      <c r="A21">
        <f t="shared" si="0"/>
        <v>5</v>
      </c>
      <c r="B21" s="1">
        <f t="shared" si="1"/>
        <v>-12503.71900978186</v>
      </c>
      <c r="C21" s="1">
        <f t="shared" si="2"/>
        <v>-10147.103181660266</v>
      </c>
      <c r="D21" s="1">
        <f t="shared" si="3"/>
        <v>-22650.822191442126</v>
      </c>
      <c r="E21" s="9">
        <f>IF(A21&lt;&gt;"",$C$3+SUM($B$17:B21),"")</f>
        <v>938787.20427086786</v>
      </c>
    </row>
    <row r="22" spans="1:5">
      <c r="A22">
        <f t="shared" si="0"/>
        <v>6</v>
      </c>
      <c r="B22" s="1">
        <f t="shared" si="1"/>
        <v>-12637.092012552866</v>
      </c>
      <c r="C22" s="1">
        <f t="shared" si="2"/>
        <v>-10013.73017888926</v>
      </c>
      <c r="D22" s="1">
        <f t="shared" si="3"/>
        <v>-22650.822191442126</v>
      </c>
      <c r="E22" s="9">
        <f>IF(A22&lt;&gt;"",$C$3+SUM($B$17:B22),"")</f>
        <v>926150.11225831497</v>
      </c>
    </row>
    <row r="23" spans="1:5">
      <c r="A23">
        <f t="shared" si="0"/>
        <v>7</v>
      </c>
      <c r="B23" s="1">
        <f t="shared" si="1"/>
        <v>-12771.887660686762</v>
      </c>
      <c r="C23" s="1">
        <f t="shared" si="2"/>
        <v>-9878.9345307553649</v>
      </c>
      <c r="D23" s="1">
        <f t="shared" si="3"/>
        <v>-22650.822191442126</v>
      </c>
      <c r="E23" s="9">
        <f>IF(A23&lt;&gt;"",$C$3+SUM($B$17:B23),"")</f>
        <v>913378.22459762823</v>
      </c>
    </row>
    <row r="24" spans="1:5">
      <c r="A24">
        <f t="shared" si="0"/>
        <v>8</v>
      </c>
      <c r="B24" s="1">
        <f t="shared" si="1"/>
        <v>-12908.12112906742</v>
      </c>
      <c r="C24" s="1">
        <f t="shared" si="2"/>
        <v>-9742.7010623747065</v>
      </c>
      <c r="D24" s="1">
        <f t="shared" si="3"/>
        <v>-22650.822191442126</v>
      </c>
      <c r="E24" s="9">
        <f>IF(A24&lt;&gt;"",$C$3+SUM($B$17:B24),"")</f>
        <v>900470.10346856085</v>
      </c>
    </row>
    <row r="25" spans="1:5">
      <c r="A25">
        <f t="shared" si="0"/>
        <v>9</v>
      </c>
      <c r="B25" s="1">
        <f t="shared" si="1"/>
        <v>-13045.80775444414</v>
      </c>
      <c r="C25" s="1">
        <f t="shared" si="2"/>
        <v>-9605.0144369979862</v>
      </c>
      <c r="D25" s="1">
        <f t="shared" si="3"/>
        <v>-22650.822191442126</v>
      </c>
      <c r="E25" s="9">
        <f>IF(A25&lt;&gt;"",$C$3+SUM($B$17:B25),"")</f>
        <v>887424.29571411666</v>
      </c>
    </row>
    <row r="26" spans="1:5">
      <c r="A26">
        <f t="shared" si="0"/>
        <v>10</v>
      </c>
      <c r="B26" s="1">
        <f t="shared" si="1"/>
        <v>-13184.963037158208</v>
      </c>
      <c r="C26" s="1">
        <f t="shared" si="2"/>
        <v>-9465.8591542839185</v>
      </c>
      <c r="D26" s="1">
        <f t="shared" si="3"/>
        <v>-22650.822191442126</v>
      </c>
      <c r="E26" s="9">
        <f>IF(A26&lt;&gt;"",$C$3+SUM($B$17:B26),"")</f>
        <v>874239.33267695841</v>
      </c>
    </row>
    <row r="27" spans="1:5">
      <c r="A27">
        <f t="shared" si="0"/>
        <v>11</v>
      </c>
      <c r="B27" s="1">
        <f t="shared" si="1"/>
        <v>-13325.602642887894</v>
      </c>
      <c r="C27" s="1">
        <f t="shared" si="2"/>
        <v>-9325.2195485542325</v>
      </c>
      <c r="D27" s="1">
        <f t="shared" si="3"/>
        <v>-22650.822191442126</v>
      </c>
      <c r="E27" s="9">
        <f>IF(A27&lt;&gt;"",$C$3+SUM($B$17:B27),"")</f>
        <v>860913.73003407056</v>
      </c>
    </row>
    <row r="28" spans="1:5">
      <c r="A28">
        <f t="shared" si="0"/>
        <v>12</v>
      </c>
      <c r="B28" s="1">
        <f t="shared" si="1"/>
        <v>-13467.742404412033</v>
      </c>
      <c r="C28" s="1">
        <f t="shared" si="2"/>
        <v>-9183.0797870300939</v>
      </c>
      <c r="D28" s="1">
        <f t="shared" si="3"/>
        <v>-22650.822191442126</v>
      </c>
      <c r="E28" s="9">
        <f>IF(A28&lt;&gt;"",$C$3+SUM($B$17:B28),"")</f>
        <v>847445.98762965854</v>
      </c>
    </row>
    <row r="29" spans="1:5">
      <c r="A29">
        <f t="shared" si="0"/>
        <v>13</v>
      </c>
      <c r="B29" s="1">
        <f t="shared" si="1"/>
        <v>-13611.398323392426</v>
      </c>
      <c r="C29" s="1">
        <f t="shared" si="2"/>
        <v>-9039.4238680497001</v>
      </c>
      <c r="D29" s="1">
        <f t="shared" si="3"/>
        <v>-22650.822191442126</v>
      </c>
      <c r="E29" s="9">
        <f>IF(A29&lt;&gt;"",$C$3+SUM($B$17:B29),"")</f>
        <v>833834.58930626605</v>
      </c>
    </row>
    <row r="30" spans="1:5">
      <c r="A30">
        <f t="shared" si="0"/>
        <v>14</v>
      </c>
      <c r="B30" s="1">
        <f t="shared" si="1"/>
        <v>-13756.586572175276</v>
      </c>
      <c r="C30" s="1">
        <f t="shared" si="2"/>
        <v>-8894.2356192668503</v>
      </c>
      <c r="D30" s="1">
        <f t="shared" si="3"/>
        <v>-22650.822191442126</v>
      </c>
      <c r="E30" s="9">
        <f>IF(A30&lt;&gt;"",$C$3+SUM($B$17:B30),"")</f>
        <v>820078.00273409078</v>
      </c>
    </row>
    <row r="31" spans="1:5">
      <c r="A31">
        <f t="shared" si="0"/>
        <v>15</v>
      </c>
      <c r="B31" s="1">
        <f t="shared" si="1"/>
        <v>-13903.323495611812</v>
      </c>
      <c r="C31" s="1">
        <f t="shared" si="2"/>
        <v>-8747.4986958303143</v>
      </c>
      <c r="D31" s="1">
        <f t="shared" si="3"/>
        <v>-22650.822191442126</v>
      </c>
      <c r="E31" s="9">
        <f>IF(A31&lt;&gt;"",$C$3+SUM($B$17:B31),"")</f>
        <v>806174.679238479</v>
      </c>
    </row>
    <row r="32" spans="1:5">
      <c r="A32">
        <f t="shared" si="0"/>
        <v>16</v>
      </c>
      <c r="B32" s="1">
        <f t="shared" si="1"/>
        <v>-14051.625612898339</v>
      </c>
      <c r="C32" s="1">
        <f t="shared" si="2"/>
        <v>-8599.1965785437878</v>
      </c>
      <c r="D32" s="1">
        <f t="shared" si="3"/>
        <v>-22650.822191442126</v>
      </c>
      <c r="E32" s="9">
        <f>IF(A32&lt;&gt;"",$C$3+SUM($B$17:B32),"")</f>
        <v>792123.05362558062</v>
      </c>
    </row>
    <row r="33" spans="1:5">
      <c r="A33">
        <f t="shared" si="0"/>
        <v>17</v>
      </c>
      <c r="B33" s="1">
        <f t="shared" si="1"/>
        <v>-14201.509619435919</v>
      </c>
      <c r="C33" s="1">
        <f t="shared" si="2"/>
        <v>-8449.3125720062071</v>
      </c>
      <c r="D33" s="1">
        <f t="shared" si="3"/>
        <v>-22650.822191442126</v>
      </c>
      <c r="E33" s="9">
        <f>IF(A33&lt;&gt;"",$C$3+SUM($B$17:B33),"")</f>
        <v>777921.54400614474</v>
      </c>
    </row>
    <row r="34" spans="1:5">
      <c r="A34">
        <f t="shared" si="0"/>
        <v>18</v>
      </c>
      <c r="B34" s="1">
        <f t="shared" si="1"/>
        <v>-14352.992388709903</v>
      </c>
      <c r="C34" s="1">
        <f t="shared" si="2"/>
        <v>-8297.8298027322235</v>
      </c>
      <c r="D34" s="1">
        <f t="shared" si="3"/>
        <v>-22650.822191442126</v>
      </c>
      <c r="E34" s="9">
        <f>IF(A34&lt;&gt;"",$C$3+SUM($B$17:B34),"")</f>
        <v>763568.55161743483</v>
      </c>
    </row>
    <row r="35" spans="1:5">
      <c r="A35">
        <f t="shared" si="0"/>
        <v>19</v>
      </c>
      <c r="B35" s="1">
        <f t="shared" si="1"/>
        <v>-14506.090974189472</v>
      </c>
      <c r="C35" s="1">
        <f t="shared" si="2"/>
        <v>-8144.7312172526545</v>
      </c>
      <c r="D35" s="1">
        <f t="shared" si="3"/>
        <v>-22650.822191442126</v>
      </c>
      <c r="E35" s="9">
        <f>IF(A35&lt;&gt;"",$C$3+SUM($B$17:B35),"")</f>
        <v>749062.46064324537</v>
      </c>
    </row>
    <row r="36" spans="1:5">
      <c r="A36">
        <f t="shared" si="0"/>
        <v>20</v>
      </c>
      <c r="B36" s="1">
        <f t="shared" si="1"/>
        <v>-14660.822611247491</v>
      </c>
      <c r="C36" s="1">
        <f t="shared" si="2"/>
        <v>-7989.9995801946343</v>
      </c>
      <c r="D36" s="1">
        <f t="shared" si="3"/>
        <v>-22650.822191442126</v>
      </c>
      <c r="E36" s="9">
        <f>IF(A36&lt;&gt;"",$C$3+SUM($B$17:B36),"")</f>
        <v>734401.63803199795</v>
      </c>
    </row>
    <row r="37" spans="1:5">
      <c r="A37">
        <f t="shared" si="0"/>
        <v>21</v>
      </c>
      <c r="B37" s="1">
        <f t="shared" si="1"/>
        <v>-14817.204719100801</v>
      </c>
      <c r="C37" s="1">
        <f t="shared" si="2"/>
        <v>-7833.617472341326</v>
      </c>
      <c r="D37" s="1">
        <f t="shared" si="3"/>
        <v>-22650.822191442126</v>
      </c>
      <c r="E37" s="9">
        <f>IF(A37&lt;&gt;"",$C$3+SUM($B$17:B37),"")</f>
        <v>719584.4333128971</v>
      </c>
    </row>
    <row r="38" spans="1:5">
      <c r="A38">
        <f t="shared" si="0"/>
        <v>22</v>
      </c>
      <c r="B38" s="1">
        <f t="shared" si="1"/>
        <v>-14975.254902771205</v>
      </c>
      <c r="C38" s="1">
        <f t="shared" si="2"/>
        <v>-7675.5672886709208</v>
      </c>
      <c r="D38" s="1">
        <f t="shared" si="3"/>
        <v>-22650.822191442126</v>
      </c>
      <c r="E38" s="9">
        <f>IF(A38&lt;&gt;"",$C$3+SUM($B$17:B38),"")</f>
        <v>704609.1784101259</v>
      </c>
    </row>
    <row r="39" spans="1:5">
      <c r="A39">
        <f t="shared" si="0"/>
        <v>23</v>
      </c>
      <c r="B39" s="1">
        <f t="shared" si="1"/>
        <v>-15134.990955067429</v>
      </c>
      <c r="C39" s="1">
        <f t="shared" si="2"/>
        <v>-7515.8312363746973</v>
      </c>
      <c r="D39" s="1">
        <f t="shared" si="3"/>
        <v>-22650.822191442126</v>
      </c>
      <c r="E39" s="9">
        <f>IF(A39&lt;&gt;"",$C$3+SUM($B$17:B39),"")</f>
        <v>689474.18745505845</v>
      </c>
    </row>
    <row r="40" spans="1:5">
      <c r="A40">
        <f t="shared" si="0"/>
        <v>24</v>
      </c>
      <c r="B40" s="1">
        <f t="shared" si="1"/>
        <v>-15296.430858588148</v>
      </c>
      <c r="C40" s="1">
        <f t="shared" si="2"/>
        <v>-7354.3913328539775</v>
      </c>
      <c r="D40" s="1">
        <f t="shared" si="3"/>
        <v>-22650.822191442126</v>
      </c>
      <c r="E40" s="9">
        <f>IF(A40&lt;&gt;"",$C$3+SUM($B$17:B40),"")</f>
        <v>674177.75659647025</v>
      </c>
    </row>
    <row r="41" spans="1:5">
      <c r="A41">
        <f t="shared" si="0"/>
        <v>25</v>
      </c>
      <c r="B41" s="1">
        <f t="shared" si="1"/>
        <v>-15459.592787746424</v>
      </c>
      <c r="C41" s="1">
        <f t="shared" si="2"/>
        <v>-7191.2294036957037</v>
      </c>
      <c r="D41" s="1">
        <f t="shared" si="3"/>
        <v>-22650.822191442126</v>
      </c>
      <c r="E41" s="9">
        <f>IF(A41&lt;&gt;"",$C$3+SUM($B$17:B41),"")</f>
        <v>658718.16380872391</v>
      </c>
    </row>
    <row r="42" spans="1:5">
      <c r="A42">
        <f t="shared" si="0"/>
        <v>26</v>
      </c>
      <c r="B42" s="1">
        <f t="shared" si="1"/>
        <v>-15624.495110815715</v>
      </c>
      <c r="C42" s="1">
        <f t="shared" si="2"/>
        <v>-7026.3270806264109</v>
      </c>
      <c r="D42" s="1">
        <f t="shared" si="3"/>
        <v>-22650.822191442126</v>
      </c>
      <c r="E42" s="9">
        <f>IF(A42&lt;&gt;"",$C$3+SUM($B$17:B42),"")</f>
        <v>643093.66869790817</v>
      </c>
    </row>
    <row r="43" spans="1:5">
      <c r="A43">
        <f t="shared" si="0"/>
        <v>27</v>
      </c>
      <c r="B43" s="1">
        <f t="shared" si="1"/>
        <v>-15791.156391997749</v>
      </c>
      <c r="C43" s="1">
        <f t="shared" si="2"/>
        <v>-6859.6657994443785</v>
      </c>
      <c r="D43" s="1">
        <f t="shared" si="3"/>
        <v>-22650.822191442126</v>
      </c>
      <c r="E43" s="9">
        <f>IF(A43&lt;&gt;"",$C$3+SUM($B$17:B43),"")</f>
        <v>627302.51230591047</v>
      </c>
    </row>
    <row r="44" spans="1:5">
      <c r="A44">
        <f t="shared" si="0"/>
        <v>28</v>
      </c>
      <c r="B44" s="1">
        <f t="shared" si="1"/>
        <v>-15959.595393512391</v>
      </c>
      <c r="C44" s="1">
        <f t="shared" si="2"/>
        <v>-6691.2267979297349</v>
      </c>
      <c r="D44" s="1">
        <f t="shared" si="3"/>
        <v>-22650.822191442126</v>
      </c>
      <c r="E44" s="9">
        <f>IF(A44&lt;&gt;"",$C$3+SUM($B$17:B44),"")</f>
        <v>611342.91691239807</v>
      </c>
    </row>
    <row r="45" spans="1:5">
      <c r="A45">
        <f t="shared" si="0"/>
        <v>29</v>
      </c>
      <c r="B45" s="1">
        <f t="shared" si="1"/>
        <v>-16129.831077709856</v>
      </c>
      <c r="C45" s="1">
        <f t="shared" si="2"/>
        <v>-6520.9911137322697</v>
      </c>
      <c r="D45" s="1">
        <f t="shared" si="3"/>
        <v>-22650.822191442126</v>
      </c>
      <c r="E45" s="9">
        <f>IF(A45&lt;&gt;"",$C$3+SUM($B$17:B45),"")</f>
        <v>595213.08583468816</v>
      </c>
    </row>
    <row r="46" spans="1:5">
      <c r="A46">
        <f t="shared" si="0"/>
        <v>30</v>
      </c>
      <c r="B46" s="1">
        <f t="shared" si="1"/>
        <v>-16301.882609205426</v>
      </c>
      <c r="C46" s="1">
        <f t="shared" si="2"/>
        <v>-6348.9395822367005</v>
      </c>
      <c r="D46" s="1">
        <f t="shared" si="3"/>
        <v>-22650.822191442126</v>
      </c>
      <c r="E46" s="9">
        <f>IF(A46&lt;&gt;"",$C$3+SUM($B$17:B46),"")</f>
        <v>578911.20322548272</v>
      </c>
    </row>
    <row r="47" spans="1:5">
      <c r="A47">
        <f t="shared" si="0"/>
        <v>31</v>
      </c>
      <c r="B47" s="1">
        <f t="shared" si="1"/>
        <v>-16475.769357036952</v>
      </c>
      <c r="C47" s="1">
        <f t="shared" si="2"/>
        <v>-6175.0528344051763</v>
      </c>
      <c r="D47" s="1">
        <f t="shared" si="3"/>
        <v>-22650.82219144213</v>
      </c>
      <c r="E47" s="9">
        <f>IF(A47&lt;&gt;"",$C$3+SUM($B$17:B47),"")</f>
        <v>562435.43386844569</v>
      </c>
    </row>
    <row r="48" spans="1:5">
      <c r="A48">
        <f t="shared" si="0"/>
        <v>32</v>
      </c>
      <c r="B48" s="1">
        <f t="shared" si="1"/>
        <v>-16651.510896845346</v>
      </c>
      <c r="C48" s="1">
        <f t="shared" si="2"/>
        <v>-5999.3112945967814</v>
      </c>
      <c r="D48" s="1">
        <f t="shared" si="3"/>
        <v>-22650.822191442126</v>
      </c>
      <c r="E48" s="9">
        <f>IF(A48&lt;&gt;"",$C$3+SUM($B$17:B48),"")</f>
        <v>545783.92297160043</v>
      </c>
    </row>
    <row r="49" spans="1:5">
      <c r="A49">
        <f t="shared" si="0"/>
        <v>33</v>
      </c>
      <c r="B49" s="1">
        <f t="shared" si="1"/>
        <v>-16829.12701307836</v>
      </c>
      <c r="C49" s="1">
        <f t="shared" si="2"/>
        <v>-5821.6951783637687</v>
      </c>
      <c r="D49" s="1">
        <f t="shared" si="3"/>
        <v>-22650.82219144213</v>
      </c>
      <c r="E49" s="9">
        <f>IF(A49&lt;&gt;"",$C$3+SUM($B$17:B49),"")</f>
        <v>528954.79595852201</v>
      </c>
    </row>
    <row r="50" spans="1:5">
      <c r="A50">
        <f t="shared" si="0"/>
        <v>34</v>
      </c>
      <c r="B50" s="1">
        <f t="shared" si="1"/>
        <v>-17008.63770121786</v>
      </c>
      <c r="C50" s="1">
        <f t="shared" si="2"/>
        <v>-5642.1844902242665</v>
      </c>
      <c r="D50" s="1">
        <f t="shared" si="3"/>
        <v>-22650.822191442126</v>
      </c>
      <c r="E50" s="9">
        <f>IF(A50&lt;&gt;"",$C$3+SUM($B$17:B50),"")</f>
        <v>511946.15825730417</v>
      </c>
    </row>
    <row r="51" spans="1:5">
      <c r="A51">
        <f t="shared" si="0"/>
        <v>35</v>
      </c>
      <c r="B51" s="1">
        <f t="shared" si="1"/>
        <v>-17190.063170030848</v>
      </c>
      <c r="C51" s="1">
        <f t="shared" si="2"/>
        <v>-5460.7590214112788</v>
      </c>
      <c r="D51" s="1">
        <f t="shared" si="3"/>
        <v>-22650.822191442126</v>
      </c>
      <c r="E51" s="9">
        <f>IF(A51&lt;&gt;"",$C$3+SUM($B$17:B51),"")</f>
        <v>494756.09508727334</v>
      </c>
    </row>
    <row r="52" spans="1:5">
      <c r="A52">
        <f t="shared" si="0"/>
        <v>36</v>
      </c>
      <c r="B52" s="1">
        <f t="shared" si="1"/>
        <v>-17373.42384384451</v>
      </c>
      <c r="C52" s="1">
        <f t="shared" si="2"/>
        <v>-5277.3983475976147</v>
      </c>
      <c r="D52" s="1">
        <f t="shared" si="3"/>
        <v>-22650.822191442123</v>
      </c>
      <c r="E52" s="9">
        <f>IF(A52&lt;&gt;"",$C$3+SUM($B$17:B52),"")</f>
        <v>477382.67124342883</v>
      </c>
    </row>
    <row r="53" spans="1:5">
      <c r="A53">
        <f t="shared" si="0"/>
        <v>37</v>
      </c>
      <c r="B53" s="1">
        <f t="shared" si="1"/>
        <v>-17558.740364845518</v>
      </c>
      <c r="C53" s="1">
        <f t="shared" si="2"/>
        <v>-5092.0818265966091</v>
      </c>
      <c r="D53" s="1">
        <f t="shared" si="3"/>
        <v>-22650.822191442126</v>
      </c>
      <c r="E53" s="9">
        <f>IF(A53&lt;&gt;"",$C$3+SUM($B$17:B53),"")</f>
        <v>459823.93087858334</v>
      </c>
    </row>
    <row r="54" spans="1:5">
      <c r="A54">
        <f t="shared" si="0"/>
        <v>38</v>
      </c>
      <c r="B54" s="1">
        <f t="shared" si="1"/>
        <v>-17746.033595403867</v>
      </c>
      <c r="C54" s="1">
        <f t="shared" si="2"/>
        <v>-4904.7885960382591</v>
      </c>
      <c r="D54" s="1">
        <f t="shared" si="3"/>
        <v>-22650.822191442126</v>
      </c>
      <c r="E54" s="9">
        <f>IF(A54&lt;&gt;"",$C$3+SUM($B$17:B54),"")</f>
        <v>442077.89728317945</v>
      </c>
    </row>
    <row r="55" spans="1:5">
      <c r="A55">
        <f t="shared" si="0"/>
        <v>39</v>
      </c>
      <c r="B55" s="1">
        <f t="shared" si="1"/>
        <v>-17935.32462042151</v>
      </c>
      <c r="C55" s="1">
        <f t="shared" si="2"/>
        <v>-4715.4975710206181</v>
      </c>
      <c r="D55" s="1">
        <f t="shared" si="3"/>
        <v>-22650.82219144213</v>
      </c>
      <c r="E55" s="9">
        <f>IF(A55&lt;&gt;"",$C$3+SUM($B$17:B55),"")</f>
        <v>424142.57266275794</v>
      </c>
    </row>
    <row r="56" spans="1:5">
      <c r="A56">
        <f t="shared" si="0"/>
        <v>40</v>
      </c>
      <c r="B56" s="1">
        <f t="shared" si="1"/>
        <v>-18126.634749706005</v>
      </c>
      <c r="C56" s="1">
        <f t="shared" si="2"/>
        <v>-4524.1874417361214</v>
      </c>
      <c r="D56" s="1">
        <f t="shared" si="3"/>
        <v>-22650.822191442126</v>
      </c>
      <c r="E56" s="9">
        <f>IF(A56&lt;&gt;"",$C$3+SUM($B$17:B56),"")</f>
        <v>406015.93791305192</v>
      </c>
    </row>
    <row r="57" spans="1:5">
      <c r="A57">
        <f t="shared" si="0"/>
        <v>41</v>
      </c>
      <c r="B57" s="1">
        <f t="shared" si="1"/>
        <v>-18319.985520369533</v>
      </c>
      <c r="C57" s="1">
        <f t="shared" si="2"/>
        <v>-4330.836671072595</v>
      </c>
      <c r="D57" s="1">
        <f t="shared" si="3"/>
        <v>-22650.82219144213</v>
      </c>
      <c r="E57" s="9">
        <f>IF(A57&lt;&gt;"",$C$3+SUM($B$17:B57),"")</f>
        <v>387695.95239268243</v>
      </c>
    </row>
    <row r="58" spans="1:5">
      <c r="A58">
        <f t="shared" si="0"/>
        <v>42</v>
      </c>
      <c r="B58" s="1">
        <f t="shared" si="1"/>
        <v>-18515.398699253474</v>
      </c>
      <c r="C58" s="1">
        <f t="shared" si="2"/>
        <v>-4135.4234921886518</v>
      </c>
      <c r="D58" s="1">
        <f t="shared" si="3"/>
        <v>-22650.822191442126</v>
      </c>
      <c r="E58" s="9">
        <f>IF(A58&lt;&gt;"",$C$3+SUM($B$17:B58),"")</f>
        <v>369180.55369342898</v>
      </c>
    </row>
    <row r="59" spans="1:5">
      <c r="A59">
        <f t="shared" si="0"/>
        <v>43</v>
      </c>
      <c r="B59" s="1">
        <f t="shared" si="1"/>
        <v>-18712.89628537884</v>
      </c>
      <c r="C59" s="1">
        <f t="shared" si="2"/>
        <v>-3937.9259060632858</v>
      </c>
      <c r="D59" s="1">
        <f t="shared" si="3"/>
        <v>-22650.822191442126</v>
      </c>
      <c r="E59" s="9">
        <f>IF(A59&lt;&gt;"",$C$3+SUM($B$17:B59),"")</f>
        <v>350467.65740805015</v>
      </c>
    </row>
    <row r="60" spans="1:5">
      <c r="A60">
        <f t="shared" si="0"/>
        <v>44</v>
      </c>
      <c r="B60" s="1">
        <f t="shared" si="1"/>
        <v>-18912.500512422885</v>
      </c>
      <c r="C60" s="1">
        <f t="shared" si="2"/>
        <v>-3738.3216790192423</v>
      </c>
      <c r="D60" s="1">
        <f t="shared" si="3"/>
        <v>-22650.822191442126</v>
      </c>
      <c r="E60" s="9">
        <f>IF(A60&lt;&gt;"",$C$3+SUM($B$17:B60),"")</f>
        <v>331555.15689562727</v>
      </c>
    </row>
    <row r="61" spans="1:5">
      <c r="A61">
        <f t="shared" si="0"/>
        <v>45</v>
      </c>
      <c r="B61" s="1">
        <f t="shared" si="1"/>
        <v>-19114.233851222059</v>
      </c>
      <c r="C61" s="1">
        <f t="shared" si="2"/>
        <v>-3536.5883402200661</v>
      </c>
      <c r="D61" s="1">
        <f t="shared" si="3"/>
        <v>-22650.822191442126</v>
      </c>
      <c r="E61" s="9">
        <f>IF(A61&lt;&gt;"",$C$3+SUM($B$17:B61),"")</f>
        <v>312440.92304440518</v>
      </c>
    </row>
    <row r="62" spans="1:5">
      <c r="A62">
        <f t="shared" si="0"/>
        <v>46</v>
      </c>
      <c r="B62" s="1">
        <f t="shared" si="1"/>
        <v>-19318.119012301759</v>
      </c>
      <c r="C62" s="1">
        <f t="shared" si="2"/>
        <v>-3332.7031791403688</v>
      </c>
      <c r="D62" s="1">
        <f t="shared" si="3"/>
        <v>-22650.822191442126</v>
      </c>
      <c r="E62" s="9">
        <f>IF(A62&lt;&gt;"",$C$3+SUM($B$17:B62),"")</f>
        <v>293122.80403210339</v>
      </c>
    </row>
    <row r="63" spans="1:5">
      <c r="A63">
        <f t="shared" si="0"/>
        <v>47</v>
      </c>
      <c r="B63" s="1">
        <f t="shared" si="1"/>
        <v>-19524.178948432978</v>
      </c>
      <c r="C63" s="1">
        <f t="shared" si="2"/>
        <v>-3126.64324300915</v>
      </c>
      <c r="D63" s="1">
        <f t="shared" si="3"/>
        <v>-22650.82219144213</v>
      </c>
      <c r="E63" s="9">
        <f>IF(A63&lt;&gt;"",$C$3+SUM($B$17:B63),"")</f>
        <v>273598.62508367037</v>
      </c>
    </row>
    <row r="64" spans="1:5">
      <c r="A64">
        <f t="shared" si="0"/>
        <v>48</v>
      </c>
      <c r="B64" s="1">
        <f t="shared" si="1"/>
        <v>-19732.43685721626</v>
      </c>
      <c r="C64" s="1">
        <f t="shared" si="2"/>
        <v>-2918.3853342258658</v>
      </c>
      <c r="D64" s="1">
        <f t="shared" si="3"/>
        <v>-22650.822191442126</v>
      </c>
      <c r="E64" s="9">
        <f>IF(A64&lt;&gt;"",$C$3+SUM($B$17:B64),"")</f>
        <v>253866.18822645408</v>
      </c>
    </row>
    <row r="65" spans="1:5">
      <c r="A65">
        <f t="shared" si="0"/>
        <v>49</v>
      </c>
      <c r="B65" s="1">
        <f t="shared" si="1"/>
        <v>-19942.916183693236</v>
      </c>
      <c r="C65" s="1">
        <f t="shared" si="2"/>
        <v>-2707.9060077488916</v>
      </c>
      <c r="D65" s="1">
        <f t="shared" si="3"/>
        <v>-22650.822191442126</v>
      </c>
      <c r="E65" s="9">
        <f>IF(A65&lt;&gt;"",$C$3+SUM($B$17:B65),"")</f>
        <v>233923.27204276086</v>
      </c>
    </row>
    <row r="66" spans="1:5">
      <c r="A66">
        <f t="shared" si="0"/>
        <v>50</v>
      </c>
      <c r="B66" s="1">
        <f t="shared" si="1"/>
        <v>-20155.64062298596</v>
      </c>
      <c r="C66" s="1">
        <f t="shared" si="2"/>
        <v>-2495.1815684561652</v>
      </c>
      <c r="D66" s="1">
        <f t="shared" si="3"/>
        <v>-22650.822191442126</v>
      </c>
      <c r="E66" s="9">
        <f>IF(A66&lt;&gt;"",$C$3+SUM($B$17:B66),"")</f>
        <v>213767.63141977484</v>
      </c>
    </row>
    <row r="67" spans="1:5">
      <c r="A67">
        <f t="shared" si="0"/>
        <v>51</v>
      </c>
      <c r="B67" s="1">
        <f t="shared" si="1"/>
        <v>-20370.634122964475</v>
      </c>
      <c r="C67" s="1">
        <f t="shared" si="2"/>
        <v>-2280.1880684776529</v>
      </c>
      <c r="D67" s="1">
        <f t="shared" si="3"/>
        <v>-22650.822191442126</v>
      </c>
      <c r="E67" s="9">
        <f>IF(A67&lt;&gt;"",$C$3+SUM($B$17:B67),"")</f>
        <v>193396.99729681038</v>
      </c>
    </row>
    <row r="68" spans="1:5">
      <c r="A68">
        <f t="shared" si="0"/>
        <v>52</v>
      </c>
      <c r="B68" s="1">
        <f t="shared" si="1"/>
        <v>-20587.92088694276</v>
      </c>
      <c r="C68" s="1">
        <f t="shared" si="2"/>
        <v>-2062.9013044993653</v>
      </c>
      <c r="D68" s="1">
        <f t="shared" si="3"/>
        <v>-22650.822191442126</v>
      </c>
      <c r="E68" s="9">
        <f>IF(A68&lt;&gt;"",$C$3+SUM($B$17:B68),"")</f>
        <v>172809.07640986762</v>
      </c>
    </row>
    <row r="69" spans="1:5">
      <c r="A69">
        <f t="shared" si="0"/>
        <v>53</v>
      </c>
      <c r="B69" s="1">
        <f t="shared" si="1"/>
        <v>-20807.525376403486</v>
      </c>
      <c r="C69" s="1">
        <f t="shared" si="2"/>
        <v>-1843.2968150386412</v>
      </c>
      <c r="D69" s="1">
        <f t="shared" si="3"/>
        <v>-22650.822191442126</v>
      </c>
      <c r="E69" s="9">
        <f>IF(A69&lt;&gt;"",$C$3+SUM($B$17:B69),"")</f>
        <v>152001.55103346414</v>
      </c>
    </row>
    <row r="70" spans="1:5">
      <c r="A70">
        <f t="shared" si="0"/>
        <v>54</v>
      </c>
      <c r="B70" s="1">
        <f t="shared" si="1"/>
        <v>-21029.472313751783</v>
      </c>
      <c r="C70" s="1">
        <f t="shared" si="2"/>
        <v>-1621.349877690345</v>
      </c>
      <c r="D70" s="1">
        <f t="shared" si="3"/>
        <v>-22650.822191442126</v>
      </c>
      <c r="E70" s="9">
        <f>IF(A70&lt;&gt;"",$C$3+SUM($B$17:B70),"")</f>
        <v>130972.07871971233</v>
      </c>
    </row>
    <row r="71" spans="1:5">
      <c r="A71">
        <f t="shared" si="0"/>
        <v>55</v>
      </c>
      <c r="B71" s="1">
        <f t="shared" si="1"/>
        <v>-21253.786685098465</v>
      </c>
      <c r="C71" s="1">
        <f t="shared" si="2"/>
        <v>-1397.0355063436602</v>
      </c>
      <c r="D71" s="1">
        <f t="shared" si="3"/>
        <v>-22650.822191442126</v>
      </c>
      <c r="E71" s="9">
        <f>IF(A71&lt;&gt;"",$C$3+SUM($B$17:B71),"")</f>
        <v>109718.2920346139</v>
      </c>
    </row>
    <row r="72" spans="1:5">
      <c r="A72">
        <f t="shared" si="0"/>
        <v>56</v>
      </c>
      <c r="B72" s="1">
        <f t="shared" si="1"/>
        <v>-21480.493743072853</v>
      </c>
      <c r="C72" s="1">
        <f t="shared" si="2"/>
        <v>-1170.3284483692746</v>
      </c>
      <c r="D72" s="1">
        <f t="shared" si="3"/>
        <v>-22650.822191442126</v>
      </c>
      <c r="E72" s="9">
        <f>IF(A72&lt;&gt;"",$C$3+SUM($B$17:B72),"")</f>
        <v>88237.798291541054</v>
      </c>
    </row>
    <row r="73" spans="1:5">
      <c r="A73">
        <f t="shared" si="0"/>
        <v>57</v>
      </c>
      <c r="B73" s="1">
        <f t="shared" si="1"/>
        <v>-21709.619009665632</v>
      </c>
      <c r="C73" s="1">
        <f t="shared" si="2"/>
        <v>-941.20318177649619</v>
      </c>
      <c r="D73" s="1">
        <f t="shared" si="3"/>
        <v>-22650.822191442126</v>
      </c>
      <c r="E73" s="9">
        <f>IF(A73&lt;&gt;"",$C$3+SUM($B$17:B73),"")</f>
        <v>66528.179281875375</v>
      </c>
    </row>
    <row r="74" spans="1:5">
      <c r="A74">
        <f t="shared" si="0"/>
        <v>58</v>
      </c>
      <c r="B74" s="1">
        <f t="shared" si="1"/>
        <v>-21941.188279102058</v>
      </c>
      <c r="C74" s="1">
        <f t="shared" si="2"/>
        <v>-709.63391234006735</v>
      </c>
      <c r="D74" s="1">
        <f t="shared" si="3"/>
        <v>-22650.822191442126</v>
      </c>
      <c r="E74" s="9">
        <f>IF(A74&lt;&gt;"",$C$3+SUM($B$17:B74),"")</f>
        <v>44586.991002773284</v>
      </c>
    </row>
    <row r="75" spans="1:5">
      <c r="A75">
        <f t="shared" si="0"/>
        <v>59</v>
      </c>
      <c r="B75" s="1">
        <f t="shared" si="1"/>
        <v>-22175.227620745809</v>
      </c>
      <c r="C75" s="1">
        <f t="shared" si="2"/>
        <v>-475.59457069631662</v>
      </c>
      <c r="D75" s="1">
        <f t="shared" si="3"/>
        <v>-22650.822191442126</v>
      </c>
      <c r="E75" s="9">
        <f>IF(A75&lt;&gt;"",$C$3+SUM($B$17:B75),"")</f>
        <v>22411.763382027508</v>
      </c>
    </row>
    <row r="76" spans="1:5">
      <c r="A76">
        <f t="shared" si="0"/>
        <v>60</v>
      </c>
      <c r="B76" s="1">
        <f t="shared" si="1"/>
        <v>-22411.763382033769</v>
      </c>
      <c r="C76" s="1">
        <f t="shared" si="2"/>
        <v>-239.05880940835675</v>
      </c>
      <c r="D76" s="1">
        <f t="shared" si="3"/>
        <v>-22650.822191442126</v>
      </c>
      <c r="E76" s="9">
        <f>IF(A76&lt;&gt;"",$C$3+SUM($B$17:B76),"")</f>
        <v>-6.28642737865448E-9</v>
      </c>
    </row>
    <row r="77" spans="1:5">
      <c r="A77" t="str">
        <f t="shared" si="0"/>
        <v/>
      </c>
      <c r="B77" s="1" t="str">
        <f t="shared" si="1"/>
        <v/>
      </c>
      <c r="C77" s="1" t="str">
        <f t="shared" si="2"/>
        <v/>
      </c>
      <c r="D77" s="1" t="str">
        <f t="shared" si="3"/>
        <v/>
      </c>
      <c r="E77" s="9" t="str">
        <f>IF(A77&lt;&gt;"",$C$3+SUM($B$17:B77),"")</f>
        <v/>
      </c>
    </row>
    <row r="78" spans="1:5">
      <c r="A78" t="str">
        <f t="shared" si="0"/>
        <v/>
      </c>
      <c r="B78" s="1" t="str">
        <f t="shared" si="1"/>
        <v/>
      </c>
      <c r="C78" s="1" t="str">
        <f t="shared" si="2"/>
        <v/>
      </c>
      <c r="D78" s="1" t="str">
        <f t="shared" si="3"/>
        <v/>
      </c>
      <c r="E78" s="9" t="str">
        <f>IF(A78&lt;&gt;"",$C$3+SUM($B$17:B78),"")</f>
        <v/>
      </c>
    </row>
    <row r="79" spans="1:5">
      <c r="A79" t="str">
        <f t="shared" si="0"/>
        <v/>
      </c>
      <c r="B79" s="1" t="str">
        <f t="shared" si="1"/>
        <v/>
      </c>
      <c r="C79" s="1" t="str">
        <f t="shared" si="2"/>
        <v/>
      </c>
      <c r="D79" s="1" t="str">
        <f t="shared" si="3"/>
        <v/>
      </c>
      <c r="E79" s="9" t="str">
        <f>IF(A79&lt;&gt;"",$C$3+SUM($B$17:B79),"")</f>
        <v/>
      </c>
    </row>
    <row r="80" spans="1:5">
      <c r="A80" t="str">
        <f t="shared" si="0"/>
        <v/>
      </c>
      <c r="B80" s="1" t="str">
        <f t="shared" si="1"/>
        <v/>
      </c>
      <c r="C80" s="1" t="str">
        <f t="shared" si="2"/>
        <v/>
      </c>
      <c r="D80" s="1" t="str">
        <f t="shared" si="3"/>
        <v/>
      </c>
      <c r="E80" s="9" t="str">
        <f>IF(A80&lt;&gt;"",$C$3+SUM($B$17:B80),"")</f>
        <v/>
      </c>
    </row>
    <row r="81" spans="1:5">
      <c r="A81" t="str">
        <f t="shared" si="0"/>
        <v/>
      </c>
      <c r="B81" s="1" t="str">
        <f t="shared" si="1"/>
        <v/>
      </c>
      <c r="C81" s="1" t="str">
        <f t="shared" si="2"/>
        <v/>
      </c>
      <c r="D81" s="1" t="str">
        <f t="shared" si="3"/>
        <v/>
      </c>
      <c r="E81" s="9" t="str">
        <f>IF(A81&lt;&gt;"",$C$3+SUM($B$17:B81),"")</f>
        <v/>
      </c>
    </row>
    <row r="82" spans="1:5">
      <c r="A82" t="str">
        <f t="shared" si="0"/>
        <v/>
      </c>
      <c r="B82" s="1" t="str">
        <f t="shared" si="1"/>
        <v/>
      </c>
      <c r="C82" s="1" t="str">
        <f t="shared" si="2"/>
        <v/>
      </c>
      <c r="D82" s="1" t="str">
        <f t="shared" si="3"/>
        <v/>
      </c>
      <c r="E82" s="9" t="str">
        <f>IF(A82&lt;&gt;"",$C$3+SUM($B$17:B82),"")</f>
        <v/>
      </c>
    </row>
    <row r="83" spans="1:5">
      <c r="A83" t="str">
        <f t="shared" ref="A83:A100" si="4">IF(A82&gt;=$C$7,"",A82+1)</f>
        <v/>
      </c>
      <c r="B83" s="1" t="str">
        <f t="shared" ref="B83:B100" si="5">IF(A83&lt;&gt;"",PPMT($C$5/12,A83,$C$7,$C$3,0,0),"")</f>
        <v/>
      </c>
      <c r="C83" s="1" t="str">
        <f t="shared" ref="C83:C100" si="6">IF(A83&lt;&gt;"",IPMT($C$5/12,A83,$C$7,$C$3,0,0),"")</f>
        <v/>
      </c>
      <c r="D83" s="1" t="str">
        <f t="shared" ref="D83:D100" si="7">IF(A83&lt;&gt;"",B83+C83,"")</f>
        <v/>
      </c>
      <c r="E83" s="9" t="str">
        <f>IF(A83&lt;&gt;"",$C$3+SUM($B$17:B83),"")</f>
        <v/>
      </c>
    </row>
    <row r="84" spans="1:5">
      <c r="A84" t="str">
        <f t="shared" si="4"/>
        <v/>
      </c>
      <c r="B84" s="1" t="str">
        <f t="shared" si="5"/>
        <v/>
      </c>
      <c r="C84" s="1" t="str">
        <f t="shared" si="6"/>
        <v/>
      </c>
      <c r="D84" s="1" t="str">
        <f t="shared" si="7"/>
        <v/>
      </c>
      <c r="E84" s="9" t="str">
        <f>IF(A84&lt;&gt;"",$C$3+SUM($B$17:B84),"")</f>
        <v/>
      </c>
    </row>
    <row r="85" spans="1:5">
      <c r="A85" t="str">
        <f t="shared" si="4"/>
        <v/>
      </c>
      <c r="B85" s="1" t="str">
        <f t="shared" si="5"/>
        <v/>
      </c>
      <c r="C85" s="1" t="str">
        <f t="shared" si="6"/>
        <v/>
      </c>
      <c r="D85" s="1" t="str">
        <f t="shared" si="7"/>
        <v/>
      </c>
      <c r="E85" s="9" t="str">
        <f>IF(A85&lt;&gt;"",$C$3+SUM($B$17:B85),"")</f>
        <v/>
      </c>
    </row>
    <row r="86" spans="1:5">
      <c r="A86" t="str">
        <f t="shared" si="4"/>
        <v/>
      </c>
      <c r="B86" s="1" t="str">
        <f t="shared" si="5"/>
        <v/>
      </c>
      <c r="C86" s="1" t="str">
        <f t="shared" si="6"/>
        <v/>
      </c>
      <c r="D86" s="1" t="str">
        <f t="shared" si="7"/>
        <v/>
      </c>
      <c r="E86" s="9" t="str">
        <f>IF(A86&lt;&gt;"",$C$3+SUM($B$17:B86),"")</f>
        <v/>
      </c>
    </row>
    <row r="87" spans="1:5">
      <c r="A87" t="str">
        <f t="shared" si="4"/>
        <v/>
      </c>
      <c r="B87" s="1" t="str">
        <f t="shared" si="5"/>
        <v/>
      </c>
      <c r="C87" s="1" t="str">
        <f t="shared" si="6"/>
        <v/>
      </c>
      <c r="D87" s="1" t="str">
        <f t="shared" si="7"/>
        <v/>
      </c>
      <c r="E87" s="9" t="str">
        <f>IF(A87&lt;&gt;"",$C$3+SUM($B$17:B87),"")</f>
        <v/>
      </c>
    </row>
    <row r="88" spans="1:5">
      <c r="A88" t="str">
        <f t="shared" si="4"/>
        <v/>
      </c>
      <c r="B88" s="1" t="str">
        <f t="shared" si="5"/>
        <v/>
      </c>
      <c r="C88" s="1" t="str">
        <f t="shared" si="6"/>
        <v/>
      </c>
      <c r="D88" s="1" t="str">
        <f t="shared" si="7"/>
        <v/>
      </c>
      <c r="E88" s="9" t="str">
        <f>IF(A88&lt;&gt;"",$C$3+SUM($B$17:B88),"")</f>
        <v/>
      </c>
    </row>
    <row r="89" spans="1:5">
      <c r="A89" t="str">
        <f t="shared" si="4"/>
        <v/>
      </c>
      <c r="B89" s="1" t="str">
        <f t="shared" si="5"/>
        <v/>
      </c>
      <c r="C89" s="1" t="str">
        <f t="shared" si="6"/>
        <v/>
      </c>
      <c r="D89" s="1" t="str">
        <f t="shared" si="7"/>
        <v/>
      </c>
      <c r="E89" s="9" t="str">
        <f>IF(A89&lt;&gt;"",$C$3+SUM($B$17:B89),"")</f>
        <v/>
      </c>
    </row>
    <row r="90" spans="1:5">
      <c r="A90" t="str">
        <f t="shared" si="4"/>
        <v/>
      </c>
      <c r="B90" s="1" t="str">
        <f t="shared" si="5"/>
        <v/>
      </c>
      <c r="C90" s="1" t="str">
        <f t="shared" si="6"/>
        <v/>
      </c>
      <c r="D90" s="1" t="str">
        <f t="shared" si="7"/>
        <v/>
      </c>
      <c r="E90" s="9" t="str">
        <f>IF(A90&lt;&gt;"",$C$3+SUM($B$17:B90),"")</f>
        <v/>
      </c>
    </row>
    <row r="91" spans="1:5">
      <c r="A91" t="str">
        <f t="shared" si="4"/>
        <v/>
      </c>
      <c r="B91" s="1" t="str">
        <f t="shared" si="5"/>
        <v/>
      </c>
      <c r="C91" s="1" t="str">
        <f t="shared" si="6"/>
        <v/>
      </c>
      <c r="D91" s="1" t="str">
        <f t="shared" si="7"/>
        <v/>
      </c>
      <c r="E91" s="9" t="str">
        <f>IF(A91&lt;&gt;"",$C$3+SUM($B$17:B91),"")</f>
        <v/>
      </c>
    </row>
    <row r="92" spans="1:5">
      <c r="A92" t="str">
        <f t="shared" si="4"/>
        <v/>
      </c>
      <c r="B92" s="1" t="str">
        <f t="shared" si="5"/>
        <v/>
      </c>
      <c r="C92" s="1" t="str">
        <f t="shared" si="6"/>
        <v/>
      </c>
      <c r="D92" s="1" t="str">
        <f t="shared" si="7"/>
        <v/>
      </c>
      <c r="E92" s="9" t="str">
        <f>IF(A92&lt;&gt;"",$C$3+SUM($B$17:B92),"")</f>
        <v/>
      </c>
    </row>
    <row r="93" spans="1:5">
      <c r="A93" t="str">
        <f t="shared" si="4"/>
        <v/>
      </c>
      <c r="B93" s="1" t="str">
        <f t="shared" si="5"/>
        <v/>
      </c>
      <c r="C93" s="1" t="str">
        <f t="shared" si="6"/>
        <v/>
      </c>
      <c r="D93" s="1" t="str">
        <f t="shared" si="7"/>
        <v/>
      </c>
      <c r="E93" s="9" t="str">
        <f>IF(A93&lt;&gt;"",$C$3+SUM($B$17:B93),"")</f>
        <v/>
      </c>
    </row>
    <row r="94" spans="1:5">
      <c r="A94" t="str">
        <f t="shared" si="4"/>
        <v/>
      </c>
      <c r="B94" s="1" t="str">
        <f t="shared" si="5"/>
        <v/>
      </c>
      <c r="C94" s="1" t="str">
        <f t="shared" si="6"/>
        <v/>
      </c>
      <c r="D94" s="1" t="str">
        <f t="shared" si="7"/>
        <v/>
      </c>
      <c r="E94" s="9" t="str">
        <f>IF(A94&lt;&gt;"",$C$3+SUM($B$17:B94),"")</f>
        <v/>
      </c>
    </row>
    <row r="95" spans="1:5">
      <c r="A95" t="str">
        <f t="shared" si="4"/>
        <v/>
      </c>
      <c r="B95" s="1" t="str">
        <f t="shared" si="5"/>
        <v/>
      </c>
      <c r="C95" s="1" t="str">
        <f t="shared" si="6"/>
        <v/>
      </c>
      <c r="D95" s="1" t="str">
        <f t="shared" si="7"/>
        <v/>
      </c>
      <c r="E95" s="9" t="str">
        <f>IF(A95&lt;&gt;"",$C$3+SUM($B$17:B95),"")</f>
        <v/>
      </c>
    </row>
    <row r="96" spans="1:5">
      <c r="A96" t="str">
        <f t="shared" si="4"/>
        <v/>
      </c>
      <c r="B96" s="1" t="str">
        <f t="shared" si="5"/>
        <v/>
      </c>
      <c r="C96" s="1" t="str">
        <f t="shared" si="6"/>
        <v/>
      </c>
      <c r="D96" s="1" t="str">
        <f t="shared" si="7"/>
        <v/>
      </c>
      <c r="E96" s="9" t="str">
        <f>IF(A96&lt;&gt;"",$C$3+SUM($B$17:B96),"")</f>
        <v/>
      </c>
    </row>
    <row r="97" spans="1:5">
      <c r="A97" t="str">
        <f t="shared" si="4"/>
        <v/>
      </c>
      <c r="B97" s="1" t="str">
        <f t="shared" si="5"/>
        <v/>
      </c>
      <c r="C97" s="1" t="str">
        <f t="shared" si="6"/>
        <v/>
      </c>
      <c r="D97" s="1" t="str">
        <f t="shared" si="7"/>
        <v/>
      </c>
      <c r="E97" s="9" t="str">
        <f>IF(A97&lt;&gt;"",$C$3+SUM($B$17:B97),"")</f>
        <v/>
      </c>
    </row>
    <row r="98" spans="1:5">
      <c r="A98" t="str">
        <f t="shared" si="4"/>
        <v/>
      </c>
      <c r="B98" s="1" t="str">
        <f t="shared" si="5"/>
        <v/>
      </c>
      <c r="C98" s="1" t="str">
        <f t="shared" si="6"/>
        <v/>
      </c>
      <c r="D98" s="1" t="str">
        <f t="shared" si="7"/>
        <v/>
      </c>
      <c r="E98" s="9" t="str">
        <f>IF(A98&lt;&gt;"",$C$3+SUM($B$17:B98),"")</f>
        <v/>
      </c>
    </row>
    <row r="99" spans="1:5">
      <c r="A99" t="str">
        <f t="shared" si="4"/>
        <v/>
      </c>
      <c r="B99" s="1" t="str">
        <f t="shared" si="5"/>
        <v/>
      </c>
      <c r="C99" s="1" t="str">
        <f t="shared" si="6"/>
        <v/>
      </c>
      <c r="D99" s="1" t="str">
        <f t="shared" si="7"/>
        <v/>
      </c>
      <c r="E99" s="9" t="str">
        <f>IF(A99&lt;&gt;"",$C$3+SUM($B$17:B99),"")</f>
        <v/>
      </c>
    </row>
    <row r="100" spans="1:5">
      <c r="A100" t="str">
        <f t="shared" si="4"/>
        <v/>
      </c>
      <c r="B100" s="1" t="str">
        <f t="shared" si="5"/>
        <v/>
      </c>
      <c r="C100" s="1" t="str">
        <f t="shared" si="6"/>
        <v/>
      </c>
      <c r="D100" s="1" t="str">
        <f t="shared" si="7"/>
        <v/>
      </c>
      <c r="E100" s="9" t="str">
        <f>IF(A100&lt;&gt;"",$C$3+SUM($B$17:B100),"")</f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Простой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Pavlov</dc:creator>
  <cp:lastModifiedBy>user</cp:lastModifiedBy>
  <dcterms:created xsi:type="dcterms:W3CDTF">2014-06-26T17:54:51Z</dcterms:created>
  <dcterms:modified xsi:type="dcterms:W3CDTF">2025-10-18T10:59:35Z</dcterms:modified>
</cp:coreProperties>
</file>